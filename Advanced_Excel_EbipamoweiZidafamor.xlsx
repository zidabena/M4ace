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esktop\M4ACE Practice\"/>
    </mc:Choice>
  </mc:AlternateContent>
  <xr:revisionPtr revIDLastSave="0" documentId="13_ncr:1_{37BD4D6B-97F8-4A75-AE44-BDA85D184036}" xr6:coauthVersionLast="47" xr6:coauthVersionMax="47" xr10:uidLastSave="{00000000-0000-0000-0000-000000000000}"/>
  <bookViews>
    <workbookView xWindow="-108" yWindow="-108" windowWidth="23256" windowHeight="12576" tabRatio="808" activeTab="7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_Rate">'Tax Rate'!$A$2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0" l="1"/>
  <c r="A2" i="10"/>
  <c r="F7" i="9"/>
  <c r="F3" i="9"/>
  <c r="E24" i="8" a="1"/>
  <c r="E24" i="8" s="1"/>
  <c r="E23" i="8"/>
  <c r="C19" i="8"/>
  <c r="C15" i="8"/>
  <c r="C11" i="8"/>
  <c r="C5" i="8"/>
  <c r="C4" i="8"/>
  <c r="C3" i="8"/>
  <c r="C2" i="8"/>
  <c r="A37" i="7"/>
  <c r="A34" i="7"/>
  <c r="A33" i="7"/>
  <c r="A29" i="7"/>
  <c r="A25" i="7"/>
  <c r="A24" i="7"/>
  <c r="A23" i="7"/>
  <c r="A19" i="7"/>
  <c r="A15" i="7"/>
  <c r="A11" i="7"/>
  <c r="A7" i="7"/>
  <c r="A3" i="7"/>
  <c r="F12" i="6"/>
  <c r="F11" i="6"/>
  <c r="F10" i="6"/>
  <c r="F9" i="6"/>
  <c r="F8" i="6"/>
  <c r="F7" i="6"/>
  <c r="F3" i="6"/>
  <c r="F2" i="6"/>
  <c r="E12" i="5"/>
  <c r="E11" i="5"/>
  <c r="E10" i="5"/>
  <c r="E9" i="5"/>
  <c r="E8" i="5"/>
  <c r="E7" i="5"/>
  <c r="E6" i="5"/>
  <c r="E5" i="5"/>
  <c r="E4" i="5"/>
  <c r="E3" i="5"/>
  <c r="E2" i="5"/>
  <c r="B5" i="4"/>
  <c r="B9" i="13"/>
  <c r="B9" i="12"/>
  <c r="D5" i="13"/>
  <c r="D5" i="12"/>
  <c r="C5" i="13"/>
  <c r="E5" i="13"/>
  <c r="C5" i="12"/>
  <c r="E5" i="12"/>
  <c r="B5" i="13"/>
  <c r="B5" i="12"/>
  <c r="E3" i="13"/>
  <c r="E3" i="12"/>
  <c r="E4" i="13"/>
  <c r="E4" i="12"/>
  <c r="E2" i="13"/>
  <c r="E2" i="12"/>
  <c r="D4" i="13"/>
  <c r="D4" i="12"/>
  <c r="C4" i="13"/>
  <c r="C4" i="12"/>
  <c r="B4" i="13"/>
  <c r="B4" i="12"/>
  <c r="A3" i="11"/>
  <c r="B4" i="11"/>
  <c r="B3" i="11"/>
  <c r="A2" i="11"/>
  <c r="A1" i="11"/>
  <c r="B4" i="4"/>
  <c r="F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<sst xmlns="http://schemas.openxmlformats.org/spreadsheetml/2006/main" count="150" uniqueCount="73">
  <si>
    <t>Chocolate Chip</t>
  </si>
  <si>
    <t>Fortune</t>
  </si>
  <si>
    <t>Revenue</t>
  </si>
  <si>
    <t>Cost</t>
  </si>
  <si>
    <t>Profit</t>
  </si>
  <si>
    <t>Snickerdoodle</t>
  </si>
  <si>
    <t>Birthday Cake</t>
  </si>
  <si>
    <t>Oatmeal Raisin</t>
  </si>
  <si>
    <t>Peanut Butter</t>
  </si>
  <si>
    <t>Sugar Cookie</t>
  </si>
  <si>
    <t>Totals</t>
  </si>
  <si>
    <t>Tax Rate</t>
  </si>
  <si>
    <t>Tax</t>
  </si>
  <si>
    <t>Profit Split</t>
  </si>
  <si>
    <t>* and / evaluated first</t>
  </si>
  <si>
    <t>+ and - evaluated second</t>
  </si>
  <si>
    <t>Use parentheses to control the order</t>
  </si>
  <si>
    <t>Cookies Sold</t>
  </si>
  <si>
    <t>Cookie Name</t>
  </si>
  <si>
    <t>2nd most sold</t>
  </si>
  <si>
    <t>Most # of cookies sold</t>
  </si>
  <si>
    <t>Least # of cookies sold</t>
  </si>
  <si>
    <t>2nd least sold</t>
  </si>
  <si>
    <t>Average sold?</t>
  </si>
  <si>
    <t># of cookies with sales?</t>
  </si>
  <si>
    <t>What # occurs most frequently?</t>
  </si>
  <si>
    <t>What # is in the middle?</t>
  </si>
  <si>
    <t>Country</t>
  </si>
  <si>
    <t>United States</t>
  </si>
  <si>
    <t>India</t>
  </si>
  <si>
    <t>Philippines</t>
  </si>
  <si>
    <t>Sumif</t>
  </si>
  <si>
    <t>Averageif</t>
  </si>
  <si>
    <t>Countif</t>
  </si>
  <si>
    <t>Minifs</t>
  </si>
  <si>
    <t>Maxifs</t>
  </si>
  <si>
    <t>sumifs</t>
  </si>
  <si>
    <t>Averageifs</t>
  </si>
  <si>
    <t>Countifs</t>
  </si>
  <si>
    <t xml:space="preserve">How many cookies sold? </t>
  </si>
  <si>
    <t>kevin cookie company</t>
  </si>
  <si>
    <t>Proper</t>
  </si>
  <si>
    <t xml:space="preserve">   Kevin Cookie Company</t>
  </si>
  <si>
    <t>Trim</t>
  </si>
  <si>
    <t>Concat</t>
  </si>
  <si>
    <t>&amp;</t>
  </si>
  <si>
    <t>Text Join</t>
  </si>
  <si>
    <t>Kevin</t>
  </si>
  <si>
    <t>Cookie</t>
  </si>
  <si>
    <t>Company</t>
  </si>
  <si>
    <t>123 Main Street, 05486</t>
  </si>
  <si>
    <t>Right, Left, Mid</t>
  </si>
  <si>
    <t>Len</t>
  </si>
  <si>
    <t>Kevin Cookie Company</t>
  </si>
  <si>
    <t>Left together with find</t>
  </si>
  <si>
    <t>Find (case-sensitive) and search (not case-sensitive)</t>
  </si>
  <si>
    <t>True / False</t>
  </si>
  <si>
    <t>Mrs. Fields</t>
  </si>
  <si>
    <t>If</t>
  </si>
  <si>
    <t>Do we sell more chocolate chip or oatmeal raisin?</t>
  </si>
  <si>
    <t>Does chocolate chip sell more than oatmeal raisin or sugar?</t>
  </si>
  <si>
    <t>Does chocolate chip sell more than all other cookies?</t>
  </si>
  <si>
    <t>AND</t>
  </si>
  <si>
    <t>OR</t>
  </si>
  <si>
    <t>Nested If / Ifs</t>
  </si>
  <si>
    <t>Cookie Type</t>
  </si>
  <si>
    <t>Price</t>
  </si>
  <si>
    <t>What is the price of:</t>
  </si>
  <si>
    <t>VLOOKUP</t>
  </si>
  <si>
    <t>XLOOKUP</t>
  </si>
  <si>
    <t>Today</t>
  </si>
  <si>
    <t>Now</t>
  </si>
  <si>
    <t>suede@kevincookiecompany.com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</si>
</sst>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3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d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Normal="100" workbookViewId="0">
      <selection activeCell="B9" sqref="B9"/>
    </sheetView>
  </sheetViews>
  <sheetFormatPr defaultRowHeight="14.4" x14ac:dyDescent="0.3"/>
  <cols>
    <col min="1" max="1" width="11.109375" customWidth="1"/>
    <col min="2" max="2" width="17" customWidth="1"/>
    <col min="3" max="3" width="16.88671875" customWidth="1"/>
    <col min="4" max="4" width="12.44140625" bestFit="1" customWidth="1"/>
    <col min="6" max="6" width="2.33203125" customWidth="1"/>
  </cols>
  <sheetData>
    <row r="1" spans="1:7" x14ac:dyDescent="0.3">
      <c r="B1" s="2" t="s">
        <v>0</v>
      </c>
      <c r="C1" s="2" t="s">
        <v>7</v>
      </c>
      <c r="D1" s="2" t="s">
        <v>9</v>
      </c>
      <c r="E1" s="2" t="s">
        <v>10</v>
      </c>
      <c r="G1" s="2" t="s">
        <v>11</v>
      </c>
    </row>
    <row r="2" spans="1:7" x14ac:dyDescent="0.3">
      <c r="A2" s="2" t="s">
        <v>2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3">
      <c r="A3" s="2" t="s">
        <v>3</v>
      </c>
      <c r="B3">
        <v>4</v>
      </c>
      <c r="C3">
        <v>3</v>
      </c>
      <c r="D3">
        <v>2</v>
      </c>
      <c r="E3">
        <f>SUM(B3:D3)</f>
        <v>9</v>
      </c>
    </row>
    <row r="4" spans="1:7" x14ac:dyDescent="0.3">
      <c r="A4" s="2" t="s">
        <v>4</v>
      </c>
      <c r="B4">
        <f>B2-B3</f>
        <v>6</v>
      </c>
      <c r="C4">
        <f t="shared" ref="C4" si="0">C2-C3</f>
        <v>5</v>
      </c>
      <c r="D4">
        <f>D2-D3</f>
        <v>3</v>
      </c>
      <c r="E4">
        <f>SUM(B4:D4)</f>
        <v>14</v>
      </c>
    </row>
    <row r="5" spans="1:7" x14ac:dyDescent="0.3">
      <c r="A5" s="2" t="s">
        <v>12</v>
      </c>
      <c r="B5">
        <f>B4*Tax_Rate</f>
        <v>0.60000000000000009</v>
      </c>
      <c r="C5">
        <f>C4*Tax_Rate</f>
        <v>0.5</v>
      </c>
      <c r="D5">
        <f>D4*Tax_Rate</f>
        <v>0.30000000000000004</v>
      </c>
      <c r="E5">
        <f>E4*Tax_Rate</f>
        <v>1.4000000000000001</v>
      </c>
    </row>
    <row r="6" spans="1:7" x14ac:dyDescent="0.3">
      <c r="A6" s="2"/>
      <c r="C6" s="1"/>
    </row>
    <row r="7" spans="1:7" x14ac:dyDescent="0.3">
      <c r="C7" s="1"/>
    </row>
    <row r="8" spans="1:7" x14ac:dyDescent="0.3">
      <c r="C8" s="1"/>
    </row>
    <row r="9" spans="1:7" x14ac:dyDescent="0.3">
      <c r="A9" s="2" t="s">
        <v>13</v>
      </c>
      <c r="B9">
        <f>E4/2</f>
        <v>7</v>
      </c>
      <c r="C9" s="1"/>
      <c r="D9" s="6"/>
    </row>
    <row r="10" spans="1:7" x14ac:dyDescent="0.3">
      <c r="C10" s="1"/>
      <c r="D10" s="6"/>
    </row>
    <row r="11" spans="1:7" x14ac:dyDescent="0.3">
      <c r="C11" s="1"/>
    </row>
    <row r="12" spans="1:7" x14ac:dyDescent="0.3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E9"/>
  <sheetViews>
    <sheetView zoomScaleNormal="100" workbookViewId="0">
      <selection activeCell="B10" sqref="B10"/>
    </sheetView>
  </sheetViews>
  <sheetFormatPr defaultRowHeight="14.4" x14ac:dyDescent="0.3"/>
  <sheetData>
    <row r="1" spans="1:5" x14ac:dyDescent="0.3">
      <c r="A1" s="2" t="s">
        <v>11</v>
      </c>
    </row>
    <row r="2" spans="1:5" x14ac:dyDescent="0.3">
      <c r="A2" s="3">
        <v>0.1</v>
      </c>
      <c r="E2">
        <f>SUM(B2:D2)</f>
        <v>0</v>
      </c>
    </row>
    <row r="3" spans="1:5" x14ac:dyDescent="0.3">
      <c r="E3">
        <f>SUM(B3:D3)</f>
        <v>0</v>
      </c>
    </row>
    <row r="4" spans="1:5" x14ac:dyDescent="0.3">
      <c r="B4">
        <f>B2-B3</f>
        <v>0</v>
      </c>
      <c r="C4">
        <f t="shared" ref="C4" si="0">C2-C3</f>
        <v>0</v>
      </c>
      <c r="D4">
        <f>D2-D3</f>
        <v>0</v>
      </c>
      <c r="E4">
        <f>SUM(B4:D4)</f>
        <v>0</v>
      </c>
    </row>
    <row r="5" spans="1:5" x14ac:dyDescent="0.3">
      <c r="B5">
        <f>B4*Tax_Rate</f>
        <v>0</v>
      </c>
      <c r="C5">
        <f>C4*Tax_Rate</f>
        <v>0</v>
      </c>
      <c r="D5">
        <f>D4*Tax_Rate</f>
        <v>0</v>
      </c>
      <c r="E5">
        <f>E4*Tax_Rate</f>
        <v>0</v>
      </c>
    </row>
    <row r="9" spans="1:5" x14ac:dyDescent="0.3">
      <c r="B9">
        <f>E4/2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Normal="100" workbookViewId="0">
      <selection activeCell="B5" sqref="B5"/>
    </sheetView>
  </sheetViews>
  <sheetFormatPr defaultRowHeight="14.4" x14ac:dyDescent="0.3"/>
  <cols>
    <col min="2" max="2" width="14.44140625" bestFit="1" customWidth="1"/>
  </cols>
  <sheetData>
    <row r="1" spans="1:4" x14ac:dyDescent="0.3">
      <c r="B1" s="2" t="s">
        <v>0</v>
      </c>
      <c r="D1" s="2" t="s">
        <v>11</v>
      </c>
    </row>
    <row r="2" spans="1:4" x14ac:dyDescent="0.3">
      <c r="A2" s="2" t="s">
        <v>2</v>
      </c>
      <c r="B2">
        <v>10</v>
      </c>
      <c r="D2" s="3">
        <v>0.1</v>
      </c>
    </row>
    <row r="3" spans="1:4" x14ac:dyDescent="0.3">
      <c r="A3" s="2" t="s">
        <v>3</v>
      </c>
      <c r="B3">
        <v>4</v>
      </c>
    </row>
    <row r="4" spans="1:4" x14ac:dyDescent="0.3">
      <c r="A4" s="2" t="s">
        <v>4</v>
      </c>
      <c r="B4">
        <f>B2-B3</f>
        <v>6</v>
      </c>
    </row>
    <row r="5" spans="1:4" x14ac:dyDescent="0.3">
      <c r="A5" s="2" t="s">
        <v>12</v>
      </c>
      <c r="B5">
        <f>(B2-B3)*$D$2</f>
        <v>0.60000000000000009</v>
      </c>
    </row>
    <row r="7" spans="1:4" x14ac:dyDescent="0.3">
      <c r="A7" s="4" t="s">
        <v>14</v>
      </c>
    </row>
    <row r="8" spans="1:4" x14ac:dyDescent="0.3">
      <c r="A8" s="4" t="s">
        <v>15</v>
      </c>
    </row>
    <row r="9" spans="1:4" x14ac:dyDescent="0.3">
      <c r="A9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F12"/>
  <sheetViews>
    <sheetView zoomScaleNormal="100" workbookViewId="0">
      <selection activeCell="F12" sqref="F12"/>
    </sheetView>
  </sheetViews>
  <sheetFormatPr defaultRowHeight="14.4" x14ac:dyDescent="0.3"/>
  <cols>
    <col min="1" max="1" width="13.6640625" customWidth="1"/>
    <col min="2" max="2" width="12.33203125" bestFit="1" customWidth="1"/>
    <col min="3" max="3" width="3.109375" customWidth="1"/>
    <col min="4" max="4" width="28.33203125" bestFit="1" customWidth="1"/>
    <col min="5" max="5" width="4" bestFit="1" customWidth="1"/>
    <col min="6" max="6" width="11.77734375" bestFit="1" customWidth="1"/>
  </cols>
  <sheetData>
    <row r="1" spans="1:6" x14ac:dyDescent="0.3">
      <c r="A1" s="2" t="s">
        <v>18</v>
      </c>
      <c r="B1" s="2" t="s">
        <v>17</v>
      </c>
    </row>
    <row r="2" spans="1:6" x14ac:dyDescent="0.3">
      <c r="A2" t="s">
        <v>0</v>
      </c>
      <c r="B2">
        <v>97</v>
      </c>
      <c r="D2" t="s">
        <v>39</v>
      </c>
      <c r="E2">
        <f>SUM(B2:B8)</f>
        <v>421</v>
      </c>
      <c r="F2" t="str">
        <f ca="1">_xlfn.FORMULATEXT(E2)</f>
        <v>=SUM(B2:B8)</v>
      </c>
    </row>
    <row r="3" spans="1:6" x14ac:dyDescent="0.3">
      <c r="A3" t="s">
        <v>7</v>
      </c>
      <c r="B3">
        <v>77</v>
      </c>
      <c r="D3" t="s">
        <v>20</v>
      </c>
      <c r="E3">
        <f>MAX(B2:B8)</f>
        <v>97</v>
      </c>
    </row>
    <row r="4" spans="1:6" x14ac:dyDescent="0.3">
      <c r="A4" t="s">
        <v>9</v>
      </c>
      <c r="B4">
        <v>67</v>
      </c>
      <c r="D4" t="s">
        <v>21</v>
      </c>
      <c r="E4">
        <f>MIN(B2:B8)</f>
        <v>36</v>
      </c>
    </row>
    <row r="5" spans="1:6" x14ac:dyDescent="0.3">
      <c r="A5" t="s">
        <v>5</v>
      </c>
      <c r="B5">
        <v>52</v>
      </c>
      <c r="D5" t="s">
        <v>19</v>
      </c>
      <c r="E5">
        <f>LARGE(B2:B8,2)</f>
        <v>77</v>
      </c>
    </row>
    <row r="6" spans="1:6" x14ac:dyDescent="0.3">
      <c r="A6" t="s">
        <v>6</v>
      </c>
      <c r="B6">
        <v>52</v>
      </c>
      <c r="D6" t="s">
        <v>22</v>
      </c>
      <c r="E6">
        <f>SMALL(B2:B8, 2)</f>
        <v>40</v>
      </c>
    </row>
    <row r="7" spans="1:6" x14ac:dyDescent="0.3">
      <c r="A7" t="s">
        <v>8</v>
      </c>
      <c r="B7">
        <v>40</v>
      </c>
      <c r="D7" t="s">
        <v>24</v>
      </c>
      <c r="E7">
        <f>COUNT(B2:B8)</f>
        <v>7</v>
      </c>
    </row>
    <row r="8" spans="1:6" x14ac:dyDescent="0.3">
      <c r="A8" t="s">
        <v>1</v>
      </c>
      <c r="B8">
        <v>36</v>
      </c>
      <c r="E8">
        <f>COUNTA(A2:A8)</f>
        <v>7</v>
      </c>
    </row>
    <row r="9" spans="1:6" x14ac:dyDescent="0.3">
      <c r="E9">
        <f>COUNTBLANK(A2:A8)</f>
        <v>0</v>
      </c>
    </row>
    <row r="10" spans="1:6" x14ac:dyDescent="0.3">
      <c r="D10" t="s">
        <v>23</v>
      </c>
      <c r="E10">
        <f>AVERAGE(B2:B8)</f>
        <v>60.142857142857146</v>
      </c>
    </row>
    <row r="11" spans="1:6" x14ac:dyDescent="0.3">
      <c r="D11" t="s">
        <v>26</v>
      </c>
      <c r="E11">
        <f>MEDIAN(B2:B8)</f>
        <v>52</v>
      </c>
    </row>
    <row r="12" spans="1:6" x14ac:dyDescent="0.3">
      <c r="D12" t="s">
        <v>25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F12" sqref="F12"/>
    </sheetView>
  </sheetViews>
  <sheetFormatPr defaultRowHeight="14.4" x14ac:dyDescent="0.3"/>
  <cols>
    <col min="1" max="1" width="15.6640625" bestFit="1" customWidth="1"/>
    <col min="2" max="2" width="15.6640625" customWidth="1"/>
    <col min="3" max="3" width="12.33203125" bestFit="1" customWidth="1"/>
    <col min="5" max="5" width="9.5546875" bestFit="1" customWidth="1"/>
  </cols>
  <sheetData>
    <row r="1" spans="1:6" x14ac:dyDescent="0.3">
      <c r="A1" s="2" t="s">
        <v>18</v>
      </c>
      <c r="B1" s="2" t="s">
        <v>27</v>
      </c>
      <c r="C1" s="2" t="s">
        <v>17</v>
      </c>
    </row>
    <row r="2" spans="1:6" x14ac:dyDescent="0.3">
      <c r="A2" t="s">
        <v>0</v>
      </c>
      <c r="B2" t="s">
        <v>28</v>
      </c>
      <c r="C2">
        <v>28</v>
      </c>
      <c r="E2" t="s">
        <v>31</v>
      </c>
      <c r="F2">
        <f>SUMIF(B:B,B2,C:C)</f>
        <v>362</v>
      </c>
    </row>
    <row r="3" spans="1:6" x14ac:dyDescent="0.3">
      <c r="A3" t="s">
        <v>7</v>
      </c>
      <c r="B3" t="s">
        <v>28</v>
      </c>
      <c r="C3">
        <v>32</v>
      </c>
      <c r="E3" t="s">
        <v>36</v>
      </c>
      <c r="F3">
        <f>SUMIFS(C:C,B:B,B2,A:A,A2)</f>
        <v>28</v>
      </c>
    </row>
    <row r="4" spans="1:6" x14ac:dyDescent="0.3">
      <c r="A4" t="s">
        <v>9</v>
      </c>
      <c r="B4" t="s">
        <v>28</v>
      </c>
      <c r="C4">
        <v>52</v>
      </c>
    </row>
    <row r="5" spans="1:6" x14ac:dyDescent="0.3">
      <c r="A5" t="s">
        <v>5</v>
      </c>
      <c r="B5" t="s">
        <v>28</v>
      </c>
      <c r="C5">
        <v>67</v>
      </c>
    </row>
    <row r="6" spans="1:6" x14ac:dyDescent="0.3">
      <c r="A6" t="s">
        <v>6</v>
      </c>
      <c r="B6" t="s">
        <v>28</v>
      </c>
      <c r="C6">
        <v>44</v>
      </c>
    </row>
    <row r="7" spans="1:6" x14ac:dyDescent="0.3">
      <c r="A7" t="s">
        <v>8</v>
      </c>
      <c r="B7" t="s">
        <v>28</v>
      </c>
      <c r="C7">
        <v>39</v>
      </c>
      <c r="E7" t="s">
        <v>32</v>
      </c>
      <c r="F7">
        <f>AVERAGEIF(B:B,B2,C:C)</f>
        <v>51.714285714285715</v>
      </c>
    </row>
    <row r="8" spans="1:6" x14ac:dyDescent="0.3">
      <c r="A8" t="s">
        <v>1</v>
      </c>
      <c r="B8" t="s">
        <v>28</v>
      </c>
      <c r="C8">
        <v>100</v>
      </c>
      <c r="E8" t="s">
        <v>37</v>
      </c>
      <c r="F8">
        <f>AVERAGEIFS(C:C,B:B,B2,A:A,A7)</f>
        <v>39</v>
      </c>
    </row>
    <row r="9" spans="1:6" x14ac:dyDescent="0.3">
      <c r="A9" t="s">
        <v>0</v>
      </c>
      <c r="B9" t="s">
        <v>29</v>
      </c>
      <c r="C9">
        <v>75</v>
      </c>
      <c r="E9" t="s">
        <v>33</v>
      </c>
      <c r="F9">
        <f>COUNTIF(B:B,B16)</f>
        <v>7</v>
      </c>
    </row>
    <row r="10" spans="1:6" x14ac:dyDescent="0.3">
      <c r="A10" t="s">
        <v>7</v>
      </c>
      <c r="B10" t="s">
        <v>29</v>
      </c>
      <c r="C10">
        <v>32</v>
      </c>
      <c r="E10" t="s">
        <v>38</v>
      </c>
      <c r="F10">
        <f>COUNTIFS(C:C,C8,A:A,A8)</f>
        <v>2</v>
      </c>
    </row>
    <row r="11" spans="1:6" x14ac:dyDescent="0.3">
      <c r="A11" t="s">
        <v>9</v>
      </c>
      <c r="B11" t="s">
        <v>29</v>
      </c>
      <c r="C11">
        <v>40</v>
      </c>
      <c r="E11" t="s">
        <v>34</v>
      </c>
      <c r="F11">
        <f>_xlfn.MINIFS(C:C,A:A,A8,B:B,B:B)</f>
        <v>54</v>
      </c>
    </row>
    <row r="12" spans="1:6" x14ac:dyDescent="0.3">
      <c r="A12" t="s">
        <v>5</v>
      </c>
      <c r="B12" t="s">
        <v>29</v>
      </c>
      <c r="C12">
        <v>21</v>
      </c>
      <c r="E12" t="s">
        <v>35</v>
      </c>
      <c r="F12">
        <f>_xlfn.MAXIFS(C:C,A:A,A2,B:B,B:B)</f>
        <v>75</v>
      </c>
    </row>
    <row r="13" spans="1:6" x14ac:dyDescent="0.3">
      <c r="A13" t="s">
        <v>6</v>
      </c>
      <c r="B13" t="s">
        <v>29</v>
      </c>
      <c r="C13">
        <v>58</v>
      </c>
    </row>
    <row r="14" spans="1:6" x14ac:dyDescent="0.3">
      <c r="A14" t="s">
        <v>8</v>
      </c>
      <c r="B14" t="s">
        <v>29</v>
      </c>
      <c r="C14">
        <v>21</v>
      </c>
    </row>
    <row r="15" spans="1:6" x14ac:dyDescent="0.3">
      <c r="A15" t="s">
        <v>1</v>
      </c>
      <c r="B15" t="s">
        <v>29</v>
      </c>
      <c r="C15">
        <v>54</v>
      </c>
    </row>
    <row r="16" spans="1:6" x14ac:dyDescent="0.3">
      <c r="A16" t="s">
        <v>0</v>
      </c>
      <c r="B16" t="s">
        <v>30</v>
      </c>
      <c r="C16">
        <v>55</v>
      </c>
    </row>
    <row r="17" spans="1:3" x14ac:dyDescent="0.3">
      <c r="A17" t="s">
        <v>7</v>
      </c>
      <c r="B17" t="s">
        <v>30</v>
      </c>
      <c r="C17">
        <v>41</v>
      </c>
    </row>
    <row r="18" spans="1:3" x14ac:dyDescent="0.3">
      <c r="A18" t="s">
        <v>9</v>
      </c>
      <c r="B18" t="s">
        <v>30</v>
      </c>
      <c r="C18">
        <v>92</v>
      </c>
    </row>
    <row r="19" spans="1:3" x14ac:dyDescent="0.3">
      <c r="A19" t="s">
        <v>5</v>
      </c>
      <c r="B19" t="s">
        <v>30</v>
      </c>
      <c r="C19">
        <v>89</v>
      </c>
    </row>
    <row r="20" spans="1:3" x14ac:dyDescent="0.3">
      <c r="A20" t="s">
        <v>6</v>
      </c>
      <c r="B20" t="s">
        <v>30</v>
      </c>
      <c r="C20">
        <v>34</v>
      </c>
    </row>
    <row r="21" spans="1:3" x14ac:dyDescent="0.3">
      <c r="A21" t="s">
        <v>8</v>
      </c>
      <c r="B21" t="s">
        <v>30</v>
      </c>
      <c r="C21">
        <v>29</v>
      </c>
    </row>
    <row r="22" spans="1:3" x14ac:dyDescent="0.3">
      <c r="A22" t="s">
        <v>1</v>
      </c>
      <c r="B22" t="s">
        <v>30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7"/>
  <sheetViews>
    <sheetView topLeftCell="A24" zoomScale="120" zoomScaleNormal="120" workbookViewId="0">
      <selection activeCell="A37" sqref="A37"/>
    </sheetView>
  </sheetViews>
  <sheetFormatPr defaultRowHeight="14.4" x14ac:dyDescent="0.3"/>
  <cols>
    <col min="1" max="1" width="23.109375" customWidth="1"/>
  </cols>
  <sheetData>
    <row r="1" spans="1:3" x14ac:dyDescent="0.3">
      <c r="A1" s="2" t="s">
        <v>41</v>
      </c>
    </row>
    <row r="2" spans="1:3" x14ac:dyDescent="0.3">
      <c r="A2" t="s">
        <v>40</v>
      </c>
    </row>
    <row r="3" spans="1:3" x14ac:dyDescent="0.3">
      <c r="A3" t="str">
        <f>PROPER(A2)</f>
        <v>Kevin Cookie Company</v>
      </c>
    </row>
    <row r="5" spans="1:3" x14ac:dyDescent="0.3">
      <c r="A5" s="2" t="s">
        <v>43</v>
      </c>
    </row>
    <row r="6" spans="1:3" x14ac:dyDescent="0.3">
      <c r="A6" t="s">
        <v>42</v>
      </c>
    </row>
    <row r="7" spans="1:3" x14ac:dyDescent="0.3">
      <c r="A7" t="str">
        <f>TRIM(A6)</f>
        <v>Kevin Cookie Company</v>
      </c>
    </row>
    <row r="9" spans="1:3" x14ac:dyDescent="0.3">
      <c r="A9" s="2" t="s">
        <v>44</v>
      </c>
    </row>
    <row r="10" spans="1:3" x14ac:dyDescent="0.3">
      <c r="A10" t="s">
        <v>47</v>
      </c>
      <c r="B10" t="s">
        <v>48</v>
      </c>
      <c r="C10" t="s">
        <v>49</v>
      </c>
    </row>
    <row r="11" spans="1:3" x14ac:dyDescent="0.3">
      <c r="A11" t="str">
        <f>_xlfn.CONCAT(A10," ",B10," ",C10)</f>
        <v>Kevin Cookie Company</v>
      </c>
    </row>
    <row r="13" spans="1:3" x14ac:dyDescent="0.3">
      <c r="A13" s="2" t="s">
        <v>45</v>
      </c>
    </row>
    <row r="14" spans="1:3" x14ac:dyDescent="0.3">
      <c r="A14" t="s">
        <v>47</v>
      </c>
      <c r="B14" t="s">
        <v>48</v>
      </c>
      <c r="C14" t="s">
        <v>49</v>
      </c>
    </row>
    <row r="15" spans="1:3" x14ac:dyDescent="0.3">
      <c r="A15" t="str">
        <f>A14&amp;" "&amp;B14&amp;" "&amp;C14</f>
        <v>Kevin Cookie Company</v>
      </c>
    </row>
    <row r="17" spans="1:3" x14ac:dyDescent="0.3">
      <c r="A17" s="2" t="s">
        <v>46</v>
      </c>
    </row>
    <row r="18" spans="1:3" x14ac:dyDescent="0.3">
      <c r="A18" t="s">
        <v>47</v>
      </c>
      <c r="B18" t="s">
        <v>48</v>
      </c>
      <c r="C18" t="s">
        <v>49</v>
      </c>
    </row>
    <row r="19" spans="1:3" x14ac:dyDescent="0.3">
      <c r="A19" t="str">
        <f>_xlfn.TEXTJOIN(" ",TRUE,A18,B18,C18)</f>
        <v>Kevin Cookie Company</v>
      </c>
    </row>
    <row r="21" spans="1:3" x14ac:dyDescent="0.3">
      <c r="A21" s="2" t="s">
        <v>51</v>
      </c>
    </row>
    <row r="22" spans="1:3" x14ac:dyDescent="0.3">
      <c r="A22" t="s">
        <v>50</v>
      </c>
    </row>
    <row r="23" spans="1:3" x14ac:dyDescent="0.3">
      <c r="A23" t="str">
        <f>RIGHT(A22,5)</f>
        <v>05486</v>
      </c>
    </row>
    <row r="24" spans="1:3" x14ac:dyDescent="0.3">
      <c r="A24" t="str">
        <f>LEFT(A22,3)</f>
        <v>123</v>
      </c>
    </row>
    <row r="25" spans="1:3" x14ac:dyDescent="0.3">
      <c r="A25" t="str">
        <f>MID(A22,5,11)</f>
        <v>Main Street</v>
      </c>
    </row>
    <row r="27" spans="1:3" x14ac:dyDescent="0.3">
      <c r="A27" s="2" t="s">
        <v>52</v>
      </c>
    </row>
    <row r="28" spans="1:3" x14ac:dyDescent="0.3">
      <c r="A28" t="s">
        <v>53</v>
      </c>
    </row>
    <row r="29" spans="1:3" x14ac:dyDescent="0.3">
      <c r="A29">
        <f>LEN(A28)</f>
        <v>20</v>
      </c>
    </row>
    <row r="31" spans="1:3" x14ac:dyDescent="0.3">
      <c r="A31" s="2" t="s">
        <v>55</v>
      </c>
    </row>
    <row r="32" spans="1:3" x14ac:dyDescent="0.3">
      <c r="A32" s="5" t="s">
        <v>72</v>
      </c>
    </row>
    <row r="33" spans="1:1" x14ac:dyDescent="0.3">
      <c r="A33" s="5">
        <f>FIND("@",A32)</f>
        <v>6</v>
      </c>
    </row>
    <row r="34" spans="1:1" x14ac:dyDescent="0.3">
      <c r="A34">
        <f>SEARCH("kevin",A32)</f>
        <v>7</v>
      </c>
    </row>
    <row r="36" spans="1:1" x14ac:dyDescent="0.3">
      <c r="A36" s="2" t="s">
        <v>54</v>
      </c>
    </row>
    <row r="37" spans="1:1" x14ac:dyDescent="0.3">
      <c r="A37" t="str">
        <f>LEFT(A32,FIND("@",A32)-1)</f>
        <v>suede</v>
      </c>
    </row>
  </sheetData>
  <hyperlinks>
    <hyperlink ref="A32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2" zoomScaleNormal="100" workbookViewId="0">
      <selection activeCell="E24" sqref="E24"/>
    </sheetView>
  </sheetViews>
  <sheetFormatPr defaultRowHeight="14.4" x14ac:dyDescent="0.3"/>
  <cols>
    <col min="1" max="1" width="20" bestFit="1" customWidth="1"/>
    <col min="2" max="2" width="11.88671875" bestFit="1" customWidth="1"/>
    <col min="3" max="3" width="51.21875" bestFit="1" customWidth="1"/>
    <col min="5" max="5" width="12.109375" bestFit="1" customWidth="1"/>
  </cols>
  <sheetData>
    <row r="1" spans="1:3" x14ac:dyDescent="0.3">
      <c r="A1" s="2" t="s">
        <v>56</v>
      </c>
    </row>
    <row r="2" spans="1:3" x14ac:dyDescent="0.3">
      <c r="A2" t="s">
        <v>53</v>
      </c>
      <c r="B2" t="s">
        <v>57</v>
      </c>
      <c r="C2" t="b">
        <f>A2=B2</f>
        <v>0</v>
      </c>
    </row>
    <row r="3" spans="1:3" x14ac:dyDescent="0.3">
      <c r="A3">
        <v>10</v>
      </c>
      <c r="B3">
        <v>5</v>
      </c>
      <c r="C3" t="b">
        <f>A3=B3</f>
        <v>0</v>
      </c>
    </row>
    <row r="4" spans="1:3" x14ac:dyDescent="0.3">
      <c r="B4">
        <v>11</v>
      </c>
      <c r="C4" t="b">
        <f>B4-A3=1</f>
        <v>1</v>
      </c>
    </row>
    <row r="5" spans="1:3" x14ac:dyDescent="0.3">
      <c r="C5" t="b">
        <f>AND(A3&gt;B3,B4&gt;B3)</f>
        <v>1</v>
      </c>
    </row>
    <row r="8" spans="1:3" x14ac:dyDescent="0.3">
      <c r="A8" s="2"/>
    </row>
    <row r="9" spans="1:3" x14ac:dyDescent="0.3">
      <c r="A9" s="2" t="s">
        <v>18</v>
      </c>
      <c r="B9" s="2" t="s">
        <v>17</v>
      </c>
      <c r="C9" s="2" t="s">
        <v>58</v>
      </c>
    </row>
    <row r="10" spans="1:3" x14ac:dyDescent="0.3">
      <c r="A10" t="s">
        <v>0</v>
      </c>
      <c r="B10">
        <v>500</v>
      </c>
      <c r="C10" t="s">
        <v>59</v>
      </c>
    </row>
    <row r="11" spans="1:3" ht="15.6" x14ac:dyDescent="0.3">
      <c r="A11" t="s">
        <v>7</v>
      </c>
      <c r="B11">
        <v>150</v>
      </c>
      <c r="C11" s="8" t="str">
        <f>IF(B11&gt;B10,A11,A10)</f>
        <v>Chocolate Chip</v>
      </c>
    </row>
    <row r="12" spans="1:3" x14ac:dyDescent="0.3">
      <c r="A12" t="s">
        <v>9</v>
      </c>
      <c r="B12">
        <v>501</v>
      </c>
    </row>
    <row r="13" spans="1:3" x14ac:dyDescent="0.3">
      <c r="C13" s="2" t="s">
        <v>62</v>
      </c>
    </row>
    <row r="14" spans="1:3" x14ac:dyDescent="0.3">
      <c r="C14" t="s">
        <v>61</v>
      </c>
    </row>
    <row r="15" spans="1:3" x14ac:dyDescent="0.3">
      <c r="C15" s="9" t="str">
        <f>IF(AND(B10&gt;B11,B10&gt;B12),"Yes","No")</f>
        <v>No</v>
      </c>
    </row>
    <row r="17" spans="1:5" x14ac:dyDescent="0.3">
      <c r="C17" s="2" t="s">
        <v>63</v>
      </c>
    </row>
    <row r="18" spans="1:5" x14ac:dyDescent="0.3">
      <c r="C18" t="s">
        <v>60</v>
      </c>
    </row>
    <row r="19" spans="1:5" x14ac:dyDescent="0.3">
      <c r="C19" t="str">
        <f>IF(OR(B10&gt;B11,B10&gt;B12),"Yes","No")</f>
        <v>Yes</v>
      </c>
    </row>
    <row r="21" spans="1:5" x14ac:dyDescent="0.3">
      <c r="A21" s="2" t="s">
        <v>65</v>
      </c>
      <c r="B21" s="2" t="s">
        <v>66</v>
      </c>
      <c r="C21" s="2" t="s">
        <v>64</v>
      </c>
    </row>
    <row r="22" spans="1:5" x14ac:dyDescent="0.3">
      <c r="A22" t="s">
        <v>0</v>
      </c>
      <c r="B22">
        <v>10</v>
      </c>
      <c r="C22" t="s">
        <v>67</v>
      </c>
      <c r="E22" s="2" t="s">
        <v>9</v>
      </c>
    </row>
    <row r="23" spans="1:5" x14ac:dyDescent="0.3">
      <c r="A23" t="s">
        <v>7</v>
      </c>
      <c r="B23">
        <v>8</v>
      </c>
      <c r="E23">
        <f>IF(E22=A22,B22,IF(E22=A23,B23,IF(E22=A24,B24,"Unknown")))</f>
        <v>5</v>
      </c>
    </row>
    <row r="24" spans="1:5" x14ac:dyDescent="0.3">
      <c r="A24" t="s">
        <v>9</v>
      </c>
      <c r="B24">
        <v>5</v>
      </c>
      <c r="E24" cm="1">
        <f t="array" ref="E24">_xlfn.IFS(E22=A22,B22,E22=A23,B23,E22=A24,B24)</f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9"/>
  <sheetViews>
    <sheetView tabSelected="1" zoomScale="145" zoomScaleNormal="145" workbookViewId="0">
      <selection activeCell="F14" sqref="F14"/>
    </sheetView>
  </sheetViews>
  <sheetFormatPr defaultRowHeight="14.4" x14ac:dyDescent="0.3"/>
  <cols>
    <col min="1" max="1" width="13.5546875" bestFit="1" customWidth="1"/>
    <col min="2" max="2" width="5.21875" bestFit="1" customWidth="1"/>
    <col min="3" max="3" width="4.6640625" bestFit="1" customWidth="1"/>
    <col min="4" max="4" width="3.5546875" customWidth="1"/>
    <col min="5" max="5" width="17.77734375" bestFit="1" customWidth="1"/>
    <col min="6" max="6" width="13.5546875" bestFit="1" customWidth="1"/>
  </cols>
  <sheetData>
    <row r="1" spans="1:6" x14ac:dyDescent="0.3">
      <c r="A1" s="2" t="s">
        <v>65</v>
      </c>
      <c r="B1" s="2" t="s">
        <v>66</v>
      </c>
      <c r="C1" s="2" t="s">
        <v>3</v>
      </c>
      <c r="D1" s="2"/>
      <c r="E1" s="2" t="s">
        <v>68</v>
      </c>
    </row>
    <row r="2" spans="1:6" x14ac:dyDescent="0.3">
      <c r="A2" t="s">
        <v>0</v>
      </c>
      <c r="B2">
        <v>10</v>
      </c>
      <c r="C2">
        <v>4</v>
      </c>
      <c r="E2" t="s">
        <v>67</v>
      </c>
      <c r="F2" t="s">
        <v>9</v>
      </c>
    </row>
    <row r="3" spans="1:6" x14ac:dyDescent="0.3">
      <c r="A3" t="s">
        <v>7</v>
      </c>
      <c r="B3">
        <v>8</v>
      </c>
      <c r="C3">
        <v>3</v>
      </c>
      <c r="F3">
        <f>VLOOKUP(F2,A2:C4,2)</f>
        <v>5</v>
      </c>
    </row>
    <row r="4" spans="1:6" x14ac:dyDescent="0.3">
      <c r="A4" t="s">
        <v>9</v>
      </c>
      <c r="B4">
        <v>5</v>
      </c>
      <c r="C4">
        <v>2</v>
      </c>
    </row>
    <row r="5" spans="1:6" x14ac:dyDescent="0.3">
      <c r="E5" s="2" t="s">
        <v>69</v>
      </c>
    </row>
    <row r="6" spans="1:6" x14ac:dyDescent="0.3">
      <c r="E6" t="s">
        <v>67</v>
      </c>
      <c r="F6" t="s">
        <v>0</v>
      </c>
    </row>
    <row r="7" spans="1:6" x14ac:dyDescent="0.3">
      <c r="F7">
        <f>_xlfn.XLOOKUP(F6,A:A,B:B,"Not Available")</f>
        <v>10</v>
      </c>
    </row>
    <row r="9" spans="1:6" x14ac:dyDescent="0.3">
      <c r="E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8" sqref="A8"/>
    </sheetView>
  </sheetViews>
  <sheetFormatPr defaultRowHeight="14.4" x14ac:dyDescent="0.3"/>
  <cols>
    <col min="1" max="1" width="15.6640625" bestFit="1" customWidth="1"/>
  </cols>
  <sheetData>
    <row r="1" spans="1:1" x14ac:dyDescent="0.3">
      <c r="A1" s="2" t="s">
        <v>70</v>
      </c>
    </row>
    <row r="2" spans="1:1" x14ac:dyDescent="0.3">
      <c r="A2" s="6">
        <f ca="1">TODAY()</f>
        <v>46086</v>
      </c>
    </row>
    <row r="4" spans="1:1" x14ac:dyDescent="0.3">
      <c r="A4" s="2" t="s">
        <v>71</v>
      </c>
    </row>
    <row r="5" spans="1:1" x14ac:dyDescent="0.3">
      <c r="A5" s="7">
        <f ca="1">NOW()</f>
        <v>46086.45431296296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showFormulas="1" zoomScaleNormal="100" workbookViewId="0">
      <selection activeCell="D3" sqref="D3"/>
    </sheetView>
  </sheetViews>
  <sheetFormatPr defaultRowHeight="14.4" x14ac:dyDescent="0.3"/>
  <sheetData>
    <row r="1" spans="1:2" x14ac:dyDescent="0.3">
      <c r="A1">
        <f>5+4</f>
        <v>9</v>
      </c>
      <c r="B1">
        <v>1</v>
      </c>
    </row>
    <row r="2" spans="1:2" x14ac:dyDescent="0.3">
      <c r="A2">
        <f>8-2</f>
        <v>6</v>
      </c>
      <c r="B2">
        <v>3</v>
      </c>
    </row>
    <row r="3" spans="1:2" x14ac:dyDescent="0.3">
      <c r="A3">
        <f>A2+B2</f>
        <v>9</v>
      </c>
      <c r="B3">
        <f>4+2</f>
        <v>6</v>
      </c>
    </row>
    <row r="4" spans="1:2" x14ac:dyDescent="0.3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Ebipamowei Zidafamor</cp:lastModifiedBy>
  <dcterms:created xsi:type="dcterms:W3CDTF">2022-05-10T22:30:35Z</dcterms:created>
  <dcterms:modified xsi:type="dcterms:W3CDTF">2026-03-05T09:54:16Z</dcterms:modified>
</cp:coreProperties>
</file>